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2025-Q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<sst xmlns="http://schemas.openxmlformats.org/spreadsheetml/2006/main" count="75" uniqueCount="74">
  <si>
    <t xml:space="preserve">                                                                                         绩效考核表——员工                                                                                         </t>
  </si>
  <si>
    <t>部门：技术部     岗位：Java开发      姓名：     入职日期：          考核时间：</t>
  </si>
  <si>
    <t>1、本次绩效考评目标设定用于2024年月度考评，请认真完成；
2、针对人员范围：技术中心所有在职员工，
3、总权重和分权重相加为100%；其中业绩考核占比70%，能力考核占比20%，工作态度考核占比10%
4、考核结果满分为百分制，考核等级对应分数标准如下： N≥90（S）、80≤N&lt;90（A)、70≤N&lt;80(B)、60≥N&lt;70（C）、N&lt;60（D）；
5、绩效目标设定请务必上下级沟通确定，员工自评、直属上级复评，最终考核结果由部门负责人确定为准；</t>
  </si>
  <si>
    <t>事项</t>
  </si>
  <si>
    <t>权重</t>
  </si>
  <si>
    <t>考核内容</t>
  </si>
  <si>
    <t>考核标准</t>
  </si>
  <si>
    <t>预期目标
考核期初设定的绩效目标</t>
  </si>
  <si>
    <t>完成情况自我评估
(列举实际完成数据)</t>
  </si>
  <si>
    <t>员工自评
(100分制)</t>
  </si>
  <si>
    <t>上级评分
(100分制)</t>
  </si>
  <si>
    <t>得分</t>
  </si>
  <si>
    <t>评分备注</t>
  </si>
  <si>
    <t>工作业绩</t>
  </si>
  <si>
    <t>关键任务完成情况</t>
  </si>
  <si>
    <t>S、能够很好的沟通，并深刻理解任务需求，提前且超出预期地完成工作任务，执行力强。
A、能够很好的沟通，理解任务需求，按时保质保量的完成工作任务，执行力强。
B、能够良好的沟通，理解任务需求，按时完成工作任务，执行力高
C、能够完成工作任务，但需要上级领导或者同事的协助，执行力一般
D、无法按时完成任务，对任务需求理解有偏差，执行力弱。</t>
  </si>
  <si>
    <t>代码质量</t>
  </si>
  <si>
    <t>S、代码能很好的抽象业务模型，简单易懂，逻辑清晰，可维护性高，代码能很好地考虑性能问题，极少BUG
A、代码能很好的抽象业务模型，简单易懂．逻辑清晰．可读性高，代码能很好地考虑性能问题，极少BUG
B、代码能实现功能，简单易懂，逻销清晰，极少BUG代码
C、能实现功能、但逻不够清晰、较多BUG
D、代码无法实现功能，逻辅不通，甚至存在致命BUG</t>
  </si>
  <si>
    <t>代码优化</t>
  </si>
  <si>
    <t>S、主动发现线上问题，积极优化线上代码
A、主动发现线上问题，积极修复线上BUG
B、主动发现线上问题，提出问题给开发人
C、积极配合线上问题修改
D、不关心线上问题</t>
  </si>
  <si>
    <t>通用能力</t>
  </si>
  <si>
    <t>解决问题&amp;逻辑思维</t>
  </si>
  <si>
    <t>S、有技术攻坚能力，能快速识别核心技术问题点，并进行总结归纳，提出合理的解决方案，且执行落地
A、能够解决一些疑难问题或重要问题，针对问题进行思考和分析，并提出合理的解决方案，并执行
B、能独立解决问题，针对问题会做相应的分析，并会做相应的改进，且执行
C、能依据上级的工作安排，独立完成本职工作，针对出现的技术问题，缺乏分析和总结。
D、不能独立完成工作，需要多方协助，没有任何思考和想法。</t>
  </si>
  <si>
    <t>学习创新/沟通表达
（保持学习的心态和成长的愿望，在工作中不断学习和掌握新知识和新技能）</t>
  </si>
  <si>
    <t>S、自驱力强，对自己要求高；能针对业务规划、对团队成员进行业务和技术辅导；培养团队的技术氛围，提高团队的综合能力；不断吸收最新的技术知识点；并能很好地应用到工作中，赋能团队其它成员。
A、能够清晰理解业务所需的技术能力，并针对团队制定相应的学习计划，并辅导执行；具有持续不断学习的能力，善于不断总结，并有相应的技术文档输出。
B、在实现业务需求上，具有持续优化、追求创新的能力；能持续的关注和学习相关领域的知识，并能运用到工作当中；能够有意识的培养和辅导团队中的其它同事；
C、对于研发过程中遇到的技术和理论问题具备学习、理解和解决的能力；
D、满足于现状，不追求自我提升。</t>
  </si>
  <si>
    <t>工作态度</t>
  </si>
  <si>
    <t>团队协作</t>
  </si>
  <si>
    <t>S、积极主动承担团队责任，能与他人或者跨部门积极配合，并影响他人团队协作意识，形成团队中标杆，提升个人影响力。
A、尊重他人的意见和专业知识，并能积极主动地向他人学习，做决策时喜欢征求团队他人的意见.
B、愿意与他人合作开展工作，自愿参与和支持团队的决定，并高度配合
C、在团队中能与他人展开合作，但需要领导安排，积极主动性不强
D 、在团队中不愿与他人合作，过分强调个人主义，容易制造内部矛盾。</t>
  </si>
  <si>
    <t>积极主动&amp;高效执行</t>
  </si>
  <si>
    <t>S、具备主人翁精神，积极配合公司和部门各项工作安排，并能高效执行。
A、团队合作意识强，能从团队角度思考问题，并高度服从上级安排的工作任务，积极主动地高效执行。
B、工作态度积极，高度服从上级安排的工作，并执行
C、工作态度认真，服从上级安排的工作内容，并执行落地（偶尔有负面情绪，但不影响他人）
D、工作态度差，不服从上级工作安排或者容易产生负面情绪，影响他人。</t>
  </si>
  <si>
    <t>总计</t>
  </si>
  <si>
    <t>（考核总成绩得分）：</t>
  </si>
  <si>
    <t xml:space="preserve">  部门负责人评分：</t>
  </si>
  <si>
    <t>考核等级：</t>
  </si>
  <si>
    <t>绩效改进计划（PIP）</t>
  </si>
  <si>
    <r>
      <rPr>
        <sz val="16"/>
        <color theme="1"/>
        <rFont val="微软雅黑"/>
        <charset val="134"/>
      </rPr>
      <t>绩效改进计划：
  1、绩效改进计划是一次独立的绩效考核，在绩效改进计划实施期间应制定针对性的目标。
  2、对于实施绩效改进计划以后仍然不能达到C的员工或者绩效考核结果在1年内累计出现</t>
    </r>
    <r>
      <rPr>
        <sz val="16"/>
        <color rgb="FFFF0000"/>
        <rFont val="微软雅黑"/>
        <charset val="134"/>
      </rPr>
      <t>2次D</t>
    </r>
    <r>
      <rPr>
        <sz val="16"/>
        <color theme="1"/>
        <rFont val="微软雅黑"/>
        <charset val="134"/>
      </rPr>
      <t>的员工，将视为不符合岗位要求，被无条件解除劳动关系；特殊情况或上级领导认为必要的，也可申请实施绩效改进计划。</t>
    </r>
  </si>
  <si>
    <t xml:space="preserve">部门上级建议：    </t>
  </si>
  <si>
    <t xml:space="preserve"> </t>
  </si>
  <si>
    <t xml:space="preserve">                                                                                                                                             员工签字：                                                            日期：</t>
  </si>
  <si>
    <t>说明：</t>
  </si>
  <si>
    <r>
      <rPr>
        <sz val="16"/>
        <color theme="1"/>
        <rFont val="微软雅黑"/>
        <charset val="134"/>
      </rPr>
      <t>1、此表格请在每个考核周期结束后的10</t>
    </r>
    <r>
      <rPr>
        <sz val="16"/>
        <color rgb="FF000000"/>
        <rFont val="微软雅黑"/>
        <charset val="134"/>
      </rPr>
      <t>个工作日内</t>
    </r>
    <r>
      <rPr>
        <sz val="16"/>
        <rFont val="微软雅黑"/>
        <charset val="134"/>
      </rPr>
      <t>前提交至所在部门HRBP或人力资源部绩效负责人；</t>
    </r>
  </si>
  <si>
    <t>2、各部门根据人数使用强制分布法或差额分布法。不依照既定分布比例执行的，人力资源部退回表格重新评分；</t>
  </si>
  <si>
    <t>3、严禁互相讨论或透露考核结果给他人，否则将视为严重违纪并追究责任。</t>
  </si>
  <si>
    <t>绩效目标完成情况评估说明</t>
  </si>
  <si>
    <t>分值</t>
  </si>
  <si>
    <t>绩效等级</t>
  </si>
  <si>
    <t>强制分布比例</t>
  </si>
  <si>
    <t>等级描述</t>
  </si>
  <si>
    <t>绩效等级说明</t>
  </si>
  <si>
    <t>奖金比例</t>
  </si>
  <si>
    <t xml:space="preserve">  N≥90</t>
  </si>
  <si>
    <t>S</t>
  </si>
  <si>
    <t xml:space="preserve">  ≤ 5%</t>
  </si>
  <si>
    <t>卓越</t>
  </si>
  <si>
    <t>工作显著超过预期计划/目标或岗位职责，各方面表现突出</t>
  </si>
  <si>
    <t>80≤N&lt;90</t>
  </si>
  <si>
    <t>A</t>
  </si>
  <si>
    <t>≤15%</t>
  </si>
  <si>
    <t>优秀</t>
  </si>
  <si>
    <t>工作大多数方面都超过预期计划/目标或岗位职责</t>
  </si>
  <si>
    <t>70≤N&lt;80</t>
  </si>
  <si>
    <t>B</t>
  </si>
  <si>
    <t>≥70%</t>
  </si>
  <si>
    <t>良好</t>
  </si>
  <si>
    <t>工作成果符合预期计划/目标或岗位职责</t>
  </si>
  <si>
    <t>60≥N&lt;70</t>
  </si>
  <si>
    <t>C</t>
  </si>
  <si>
    <t>≥10%</t>
  </si>
  <si>
    <t>合格</t>
  </si>
  <si>
    <t>部分工作未能完成既定目标，需要采取一定措施进行改进</t>
  </si>
  <si>
    <t>N&lt;60</t>
  </si>
  <si>
    <t>D</t>
  </si>
  <si>
    <t>差</t>
  </si>
  <si>
    <t>工作未能达标，与目标存在显著差距，或有重大失误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</si>
</sst>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);\(0\)"/>
    <numFmt numFmtId="177" formatCode="0.00_);\(0.00\)"/>
    <numFmt numFmtId="178" formatCode="0.00_);[Red]\(0.00\)"/>
  </numFmts>
  <fonts count="47">
    <font>
      <sz val="11"/>
      <color theme="1"/>
      <name val="宋体"/>
      <charset val="134"/>
      <scheme val="minor"/>
    </font>
    <font>
      <sz val="16"/>
      <color theme="1"/>
      <name val="宋体"/>
      <charset val="134"/>
    </font>
    <font>
      <sz val="12"/>
      <color theme="1"/>
      <name val="宋体"/>
      <charset val="134"/>
    </font>
    <font>
      <sz val="20"/>
      <color theme="1"/>
      <name val="宋体"/>
      <charset val="134"/>
    </font>
    <font>
      <sz val="14"/>
      <color theme="1"/>
      <name val="宋体"/>
      <charset val="134"/>
    </font>
    <font>
      <sz val="18"/>
      <color theme="1"/>
      <name val="宋体"/>
      <charset val="134"/>
    </font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b/>
      <sz val="24"/>
      <color theme="5"/>
      <name val="微软雅黑"/>
      <charset val="134"/>
    </font>
    <font>
      <b/>
      <sz val="18"/>
      <color theme="5"/>
      <name val="微软雅黑"/>
      <charset val="134"/>
    </font>
    <font>
      <sz val="16"/>
      <name val="微软雅黑"/>
      <charset val="134"/>
    </font>
    <font>
      <b/>
      <sz val="18"/>
      <name val="微软雅黑"/>
      <charset val="134"/>
    </font>
    <font>
      <b/>
      <sz val="16"/>
      <name val="微软雅黑"/>
      <charset val="134"/>
    </font>
    <font>
      <sz val="18"/>
      <color rgb="FF000000"/>
      <name val="宋体"/>
      <charset val="134"/>
      <scheme val="minor"/>
    </font>
    <font>
      <sz val="18"/>
      <color rgb="FF000000"/>
      <name val="宋体"/>
      <charset val="134"/>
      <scheme val="minor"/>
    </font>
    <font>
      <sz val="16"/>
      <color rgb="FF000000"/>
      <name val="宋体"/>
      <charset val="134"/>
      <scheme val="minor"/>
    </font>
    <font>
      <b/>
      <sz val="20"/>
      <name val="微软雅黑"/>
      <charset val="134"/>
    </font>
    <font>
      <b/>
      <sz val="16"/>
      <color theme="1"/>
      <name val="微软雅黑"/>
      <charset val="134"/>
    </font>
    <font>
      <sz val="16"/>
      <color theme="1"/>
      <name val="微软雅黑"/>
      <charset val="134"/>
    </font>
    <font>
      <sz val="11"/>
      <color theme="1"/>
      <name val="微软雅黑"/>
      <charset val="134"/>
    </font>
    <font>
      <b/>
      <sz val="18"/>
      <color indexed="8"/>
      <name val="微软雅黑"/>
      <charset val="134"/>
    </font>
    <font>
      <b/>
      <sz val="16"/>
      <color indexed="8"/>
      <name val="微软雅黑"/>
      <charset val="134"/>
    </font>
    <font>
      <sz val="18"/>
      <color theme="1"/>
      <name val="微软雅黑"/>
      <charset val="134"/>
    </font>
    <font>
      <i/>
      <sz val="14"/>
      <color rgb="FFFF0000"/>
      <name val="微软雅黑"/>
      <charset val="134"/>
    </font>
    <font>
      <b/>
      <sz val="2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6"/>
      <color rgb="FF000000"/>
      <name val="微软雅黑"/>
      <charset val="134"/>
    </font>
    <font>
      <sz val="16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798577837458"/>
        <bgColor indexed="64"/>
      </patternFill>
    </fill>
    <fill>
      <patternFill patternType="solid">
        <fgColor theme="5" tint="0.7997985778374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3">
    <border>
      <left/>
      <right/>
      <top/>
      <bottom/>
      <diagonal/>
    </border>
    <border>
      <left style="medium">
        <color theme="3" tint="0.599993896298105"/>
      </left>
      <right style="slantDashDot">
        <color theme="3" tint="0.599993896298105"/>
      </right>
      <top style="medium">
        <color theme="3" tint="0.599993896298105"/>
      </top>
      <bottom style="slantDashDot">
        <color theme="3" tint="0.599993896298105"/>
      </bottom>
      <diagonal/>
    </border>
    <border>
      <left style="slantDashDot">
        <color theme="3" tint="0.599993896298105"/>
      </left>
      <right style="slantDashDot">
        <color theme="3" tint="0.599993896298105"/>
      </right>
      <top style="medium">
        <color theme="3" tint="0.599993896298105"/>
      </top>
      <bottom style="slantDashDot">
        <color theme="3" tint="0.599993896298105"/>
      </bottom>
      <diagonal/>
    </border>
    <border>
      <left style="medium">
        <color theme="3" tint="0.599993896298105"/>
      </left>
      <right/>
      <top/>
      <bottom style="slantDashDot">
        <color theme="3" tint="0.599993896298105"/>
      </bottom>
      <diagonal/>
    </border>
    <border>
      <left/>
      <right/>
      <top/>
      <bottom style="slantDashDot">
        <color theme="3" tint="0.599993896298105"/>
      </bottom>
      <diagonal/>
    </border>
    <border>
      <left style="medium">
        <color theme="3" tint="0.599993896298105"/>
      </left>
      <right/>
      <top style="slantDashDot">
        <color theme="3" tint="0.599993896298105"/>
      </top>
      <bottom style="slantDashDot">
        <color theme="3" tint="0.599993896298105"/>
      </bottom>
      <diagonal/>
    </border>
    <border>
      <left/>
      <right/>
      <top style="slantDashDot">
        <color theme="3" tint="0.599993896298105"/>
      </top>
      <bottom style="slantDashDot">
        <color theme="3" tint="0.599993896298105"/>
      </bottom>
      <diagonal/>
    </border>
    <border>
      <left style="medium">
        <color theme="3" tint="0.599993896298105"/>
      </left>
      <right style="slantDashDot">
        <color theme="3" tint="0.599993896298105"/>
      </right>
      <top style="slantDashDot">
        <color theme="3" tint="0.599993896298105"/>
      </top>
      <bottom style="slantDashDot">
        <color theme="3" tint="0.599993896298105"/>
      </bottom>
      <diagonal/>
    </border>
    <border>
      <left style="slantDashDot">
        <color theme="3" tint="0.599993896298105"/>
      </left>
      <right style="slantDashDot">
        <color theme="3" tint="0.599993896298105"/>
      </right>
      <top style="slantDashDot">
        <color theme="3" tint="0.599993896298105"/>
      </top>
      <bottom style="slantDashDot">
        <color theme="3" tint="0.599993896298105"/>
      </bottom>
      <diagonal/>
    </border>
    <border>
      <left style="thin">
        <color rgb="FFB4BAC3"/>
      </left>
      <right style="thin">
        <color rgb="FFB4BAC3"/>
      </right>
      <top style="thin">
        <color rgb="FFB4BAC3"/>
      </top>
      <bottom style="thin">
        <color rgb="FFB4BAC3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slantDashDot">
        <color theme="3" tint="0.599993896298105"/>
      </left>
      <right style="slantDashDot">
        <color theme="3" tint="0.599993896298105"/>
      </right>
      <top style="slantDashDot">
        <color theme="3" tint="0.599993896298105"/>
      </top>
      <bottom/>
      <diagonal/>
    </border>
    <border>
      <left/>
      <right style="slantDashDot">
        <color theme="3" tint="0.599993896298105"/>
      </right>
      <top style="slantDashDot">
        <color theme="3" tint="0.599993896298105"/>
      </top>
      <bottom style="slantDashDot">
        <color theme="3" tint="0.599993896298105"/>
      </bottom>
      <diagonal/>
    </border>
    <border>
      <left style="medium">
        <color theme="3" tint="0.599993896298105"/>
      </left>
      <right style="slantDashDot">
        <color theme="3" tint="0.599993896298105"/>
      </right>
      <top style="slantDashDot">
        <color theme="3" tint="0.599993896298105"/>
      </top>
      <bottom/>
      <diagonal/>
    </border>
    <border>
      <left style="slantDashDot">
        <color theme="3" tint="0.599993896298105"/>
      </left>
      <right style="slantDashDot">
        <color theme="3" tint="0.599993896298105"/>
      </right>
      <top/>
      <bottom/>
      <diagonal/>
    </border>
    <border>
      <left style="slantDashDot">
        <color theme="3" tint="0.599993896298105"/>
      </left>
      <right style="slantDashDot">
        <color theme="3" tint="0.599993896298105"/>
      </right>
      <top/>
      <bottom style="slantDashDot">
        <color theme="3" tint="0.599993896298105"/>
      </bottom>
      <diagonal/>
    </border>
    <border>
      <left style="slantDashDot">
        <color theme="3" tint="0.599993896298105"/>
      </left>
      <right/>
      <top style="slantDashDot">
        <color theme="3" tint="0.599993896298105"/>
      </top>
      <bottom/>
      <diagonal/>
    </border>
    <border>
      <left/>
      <right/>
      <top style="slantDashDot">
        <color theme="3" tint="0.599993896298105"/>
      </top>
      <bottom/>
      <diagonal/>
    </border>
    <border>
      <left/>
      <right style="slantDashDot">
        <color theme="3" tint="0.599993896298105"/>
      </right>
      <top style="slantDashDot">
        <color theme="3" tint="0.599993896298105"/>
      </top>
      <bottom/>
      <diagonal/>
    </border>
    <border>
      <left style="medium">
        <color theme="3" tint="0.599993896298105"/>
      </left>
      <right style="slantDashDot">
        <color theme="3" tint="0.599993896298105"/>
      </right>
      <top/>
      <bottom style="slantDashDot">
        <color theme="3" tint="0.599993896298105"/>
      </bottom>
      <diagonal/>
    </border>
    <border>
      <left style="slantDashDot">
        <color theme="3" tint="0.599993896298105"/>
      </left>
      <right/>
      <top/>
      <bottom style="slantDashDot">
        <color theme="3" tint="0.599993896298105"/>
      </bottom>
      <diagonal/>
    </border>
    <border>
      <left/>
      <right style="slantDashDot">
        <color theme="3" tint="0.599993896298105"/>
      </right>
      <top/>
      <bottom style="slantDashDot">
        <color theme="3" tint="0.599993896298105"/>
      </bottom>
      <diagonal/>
    </border>
    <border>
      <left style="medium">
        <color theme="3" tint="0.599993896298105"/>
      </left>
      <right style="slantDashDot">
        <color theme="3" tint="0.599993896298105"/>
      </right>
      <top style="slantDashDot">
        <color theme="3" tint="0.599993896298105"/>
      </top>
      <bottom style="medium">
        <color theme="3" tint="0.599993896298105"/>
      </bottom>
      <diagonal/>
    </border>
    <border>
      <left/>
      <right style="slantDashDot">
        <color theme="3" tint="0.599993896298105"/>
      </right>
      <top style="slantDashDot">
        <color theme="3" tint="0.599993896298105"/>
      </top>
      <bottom style="medium">
        <color theme="3" tint="0.599993896298105"/>
      </bottom>
      <diagonal/>
    </border>
    <border>
      <left style="slantDashDot">
        <color theme="3" tint="0.599993896298105"/>
      </left>
      <right style="slantDashDot">
        <color theme="3" tint="0.599993896298105"/>
      </right>
      <top style="slantDashDot">
        <color theme="3" tint="0.599993896298105"/>
      </top>
      <bottom style="medium">
        <color theme="3" tint="0.599993896298105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slantDashDot">
        <color theme="3" tint="0.599993896298105"/>
      </left>
      <right style="medium">
        <color theme="3" tint="0.599993896298105"/>
      </right>
      <top style="medium">
        <color theme="3" tint="0.599993896298105"/>
      </top>
      <bottom style="slantDashDot">
        <color theme="3" tint="0.599993896298105"/>
      </bottom>
      <diagonal/>
    </border>
    <border>
      <left/>
      <right style="medium">
        <color theme="3" tint="0.599993896298105"/>
      </right>
      <top/>
      <bottom style="slantDashDot">
        <color theme="3" tint="0.599993896298105"/>
      </bottom>
      <diagonal/>
    </border>
    <border>
      <left/>
      <right style="medium">
        <color theme="3" tint="0.599993896298105"/>
      </right>
      <top style="slantDashDot">
        <color theme="3" tint="0.599993896298105"/>
      </top>
      <bottom style="slantDashDot">
        <color theme="3" tint="0.599993896298105"/>
      </bottom>
      <diagonal/>
    </border>
    <border>
      <left style="slantDashDot">
        <color theme="3" tint="0.599993896298105"/>
      </left>
      <right style="medium">
        <color theme="3" tint="0.599993896298105"/>
      </right>
      <top style="slantDashDot">
        <color theme="3" tint="0.599993896298105"/>
      </top>
      <bottom style="slantDashDot">
        <color theme="3" tint="0.599993896298105"/>
      </bottom>
      <diagonal/>
    </border>
    <border>
      <left style="slantDashDot">
        <color theme="3" tint="0.599993896298105"/>
      </left>
      <right/>
      <top style="slantDashDot">
        <color theme="3" tint="0.599993896298105"/>
      </top>
      <bottom style="medium">
        <color theme="3" tint="0.599993896298105"/>
      </bottom>
      <diagonal/>
    </border>
    <border>
      <left style="slantDashDot">
        <color theme="3" tint="0.599993896298105"/>
      </left>
      <right style="medium">
        <color theme="3" tint="0.599993896298105"/>
      </right>
      <top style="slantDashDot">
        <color theme="3" tint="0.599993896298105"/>
      </top>
      <bottom style="medium">
        <color theme="3" tint="0.59999389629810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5" borderId="35" applyNumberFormat="0" applyFont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36" applyNumberFormat="0" applyFill="0" applyAlignment="0" applyProtection="0">
      <alignment vertical="center"/>
    </xf>
    <xf numFmtId="0" fontId="31" fillId="0" borderId="36" applyNumberFormat="0" applyFill="0" applyAlignment="0" applyProtection="0">
      <alignment vertical="center"/>
    </xf>
    <xf numFmtId="0" fontId="32" fillId="0" borderId="37" applyNumberFormat="0" applyFill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6" borderId="38" applyNumberFormat="0" applyAlignment="0" applyProtection="0">
      <alignment vertical="center"/>
    </xf>
    <xf numFmtId="0" fontId="34" fillId="7" borderId="39" applyNumberFormat="0" applyAlignment="0" applyProtection="0">
      <alignment vertical="center"/>
    </xf>
    <xf numFmtId="0" fontId="35" fillId="7" borderId="38" applyNumberFormat="0" applyAlignment="0" applyProtection="0">
      <alignment vertical="center"/>
    </xf>
    <xf numFmtId="0" fontId="36" fillId="8" borderId="40" applyNumberFormat="0" applyAlignment="0" applyProtection="0">
      <alignment vertical="center"/>
    </xf>
    <xf numFmtId="0" fontId="37" fillId="0" borderId="41" applyNumberFormat="0" applyFill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39" fillId="9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3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3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4" fillId="0" borderId="0"/>
  </cellStyleXfs>
  <cellXfs count="95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/>
    <xf numFmtId="0" fontId="3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>
      <alignment horizontal="center"/>
    </xf>
    <xf numFmtId="0" fontId="7" fillId="0" borderId="0" xfId="0" applyFont="1" applyFill="1" applyAlignment="1"/>
    <xf numFmtId="0" fontId="8" fillId="0" borderId="1" xfId="49" applyFont="1" applyBorder="1" applyAlignment="1">
      <alignment vertical="center" wrapText="1"/>
    </xf>
    <xf numFmtId="0" fontId="8" fillId="0" borderId="2" xfId="49" applyFont="1" applyBorder="1" applyAlignment="1">
      <alignment vertical="center" wrapText="1"/>
    </xf>
    <xf numFmtId="0" fontId="8" fillId="0" borderId="2" xfId="49" applyFont="1" applyBorder="1" applyAlignment="1">
      <alignment horizontal="center" vertical="center"/>
    </xf>
    <xf numFmtId="0" fontId="8" fillId="0" borderId="2" xfId="49" applyFont="1" applyBorder="1" applyAlignment="1">
      <alignment vertical="center"/>
    </xf>
    <xf numFmtId="0" fontId="9" fillId="0" borderId="3" xfId="49" applyFont="1" applyBorder="1" applyAlignment="1">
      <alignment horizontal="left" vertical="center"/>
    </xf>
    <xf numFmtId="0" fontId="9" fillId="0" borderId="4" xfId="49" applyFont="1" applyBorder="1" applyAlignment="1">
      <alignment horizontal="left" vertical="center"/>
    </xf>
    <xf numFmtId="0" fontId="9" fillId="0" borderId="4" xfId="49" applyFont="1" applyBorder="1" applyAlignment="1">
      <alignment horizontal="center" vertical="center"/>
    </xf>
    <xf numFmtId="0" fontId="10" fillId="2" borderId="5" xfId="49" applyFont="1" applyFill="1" applyBorder="1" applyAlignment="1">
      <alignment horizontal="left" vertical="top" wrapText="1"/>
    </xf>
    <xf numFmtId="0" fontId="10" fillId="2" borderId="6" xfId="49" applyFont="1" applyFill="1" applyBorder="1" applyAlignment="1">
      <alignment horizontal="left" vertical="top" wrapText="1"/>
    </xf>
    <xf numFmtId="0" fontId="10" fillId="2" borderId="6" xfId="49" applyFont="1" applyFill="1" applyBorder="1" applyAlignment="1">
      <alignment horizontal="center" vertical="top" wrapText="1"/>
    </xf>
    <xf numFmtId="0" fontId="11" fillId="3" borderId="7" xfId="49" applyFont="1" applyFill="1" applyBorder="1" applyAlignment="1">
      <alignment horizontal="center" vertical="center" wrapText="1"/>
    </xf>
    <xf numFmtId="0" fontId="11" fillId="3" borderId="8" xfId="49" applyFont="1" applyFill="1" applyBorder="1" applyAlignment="1">
      <alignment horizontal="center" vertical="center" wrapText="1"/>
    </xf>
    <xf numFmtId="0" fontId="12" fillId="3" borderId="8" xfId="49" applyFont="1" applyFill="1" applyBorder="1" applyAlignment="1">
      <alignment horizontal="center" vertical="center" wrapText="1"/>
    </xf>
    <xf numFmtId="0" fontId="12" fillId="0" borderId="7" xfId="49" applyFont="1" applyBorder="1" applyAlignment="1">
      <alignment horizontal="center" vertical="center" wrapText="1"/>
    </xf>
    <xf numFmtId="9" fontId="12" fillId="0" borderId="8" xfId="49" applyNumberFormat="1" applyFont="1" applyBorder="1" applyAlignment="1">
      <alignment horizontal="center" vertical="center" wrapText="1"/>
    </xf>
    <xf numFmtId="0" fontId="10" fillId="0" borderId="8" xfId="49" applyFont="1" applyBorder="1" applyAlignment="1">
      <alignment horizontal="center" vertical="center"/>
    </xf>
    <xf numFmtId="9" fontId="10" fillId="0" borderId="8" xfId="49" applyNumberFormat="1" applyFont="1" applyBorder="1" applyAlignment="1">
      <alignment horizontal="center" vertical="center"/>
    </xf>
    <xf numFmtId="9" fontId="10" fillId="0" borderId="8" xfId="49" applyNumberFormat="1" applyFont="1" applyBorder="1" applyAlignment="1">
      <alignment horizontal="left" vertical="center" wrapText="1"/>
    </xf>
    <xf numFmtId="9" fontId="13" fillId="0" borderId="9" xfId="0" applyNumberFormat="1" applyFont="1" applyBorder="1" applyAlignment="1">
      <alignment horizontal="left" vertical="center" wrapText="1"/>
    </xf>
    <xf numFmtId="0" fontId="14" fillId="0" borderId="10" xfId="0" applyFont="1" applyBorder="1" applyAlignment="1">
      <alignment horizontal="center" vertical="center"/>
    </xf>
    <xf numFmtId="9" fontId="14" fillId="0" borderId="9" xfId="0" applyNumberFormat="1" applyFont="1" applyBorder="1" applyAlignment="1">
      <alignment horizontal="left" vertical="center" wrapText="1"/>
    </xf>
    <xf numFmtId="176" fontId="14" fillId="0" borderId="9" xfId="0" applyNumberFormat="1" applyFont="1" applyBorder="1" applyAlignment="1">
      <alignment horizontal="left" vertical="center" wrapText="1"/>
    </xf>
    <xf numFmtId="9" fontId="12" fillId="0" borderId="11" xfId="49" applyNumberFormat="1" applyFont="1" applyBorder="1" applyAlignment="1">
      <alignment horizontal="center" vertical="center" wrapText="1"/>
    </xf>
    <xf numFmtId="0" fontId="10" fillId="0" borderId="12" xfId="49" applyFont="1" applyBorder="1" applyAlignment="1">
      <alignment horizontal="center" vertical="center"/>
    </xf>
    <xf numFmtId="9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0" fontId="12" fillId="0" borderId="13" xfId="49" applyFont="1" applyBorder="1" applyAlignment="1">
      <alignment horizontal="center" vertical="center" wrapText="1"/>
    </xf>
    <xf numFmtId="9" fontId="12" fillId="0" borderId="14" xfId="49" applyNumberFormat="1" applyFont="1" applyBorder="1" applyAlignment="1">
      <alignment horizontal="center" vertical="center" wrapText="1"/>
    </xf>
    <xf numFmtId="0" fontId="10" fillId="0" borderId="12" xfId="49" applyFont="1" applyBorder="1" applyAlignment="1">
      <alignment horizontal="center" vertical="center" wrapText="1"/>
    </xf>
    <xf numFmtId="9" fontId="10" fillId="0" borderId="15" xfId="49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left" vertical="center" wrapText="1"/>
    </xf>
    <xf numFmtId="9" fontId="10" fillId="0" borderId="8" xfId="49" applyNumberFormat="1" applyFont="1" applyBorder="1" applyAlignment="1">
      <alignment horizontal="left" vertical="top" wrapText="1"/>
    </xf>
    <xf numFmtId="0" fontId="16" fillId="3" borderId="13" xfId="49" applyFont="1" applyFill="1" applyBorder="1" applyAlignment="1">
      <alignment horizontal="center" vertical="center" wrapText="1"/>
    </xf>
    <xf numFmtId="9" fontId="16" fillId="3" borderId="16" xfId="49" applyNumberFormat="1" applyFont="1" applyFill="1" applyBorder="1" applyAlignment="1">
      <alignment horizontal="center" vertical="center" wrapText="1"/>
    </xf>
    <xf numFmtId="9" fontId="16" fillId="3" borderId="17" xfId="49" applyNumberFormat="1" applyFont="1" applyFill="1" applyBorder="1" applyAlignment="1">
      <alignment horizontal="center" vertical="center" wrapText="1"/>
    </xf>
    <xf numFmtId="9" fontId="16" fillId="3" borderId="18" xfId="49" applyNumberFormat="1" applyFont="1" applyFill="1" applyBorder="1" applyAlignment="1">
      <alignment horizontal="center" vertical="center" wrapText="1"/>
    </xf>
    <xf numFmtId="0" fontId="16" fillId="3" borderId="8" xfId="49" applyFont="1" applyFill="1" applyBorder="1" applyAlignment="1">
      <alignment horizontal="center" vertical="center" wrapText="1"/>
    </xf>
    <xf numFmtId="176" fontId="16" fillId="3" borderId="7" xfId="49" applyNumberFormat="1" applyFont="1" applyFill="1" applyBorder="1" applyAlignment="1">
      <alignment horizontal="center" vertical="center" wrapText="1"/>
    </xf>
    <xf numFmtId="0" fontId="16" fillId="3" borderId="19" xfId="49" applyFont="1" applyFill="1" applyBorder="1" applyAlignment="1">
      <alignment horizontal="center" vertical="center" wrapText="1"/>
    </xf>
    <xf numFmtId="9" fontId="16" fillId="3" borderId="20" xfId="49" applyNumberFormat="1" applyFont="1" applyFill="1" applyBorder="1" applyAlignment="1">
      <alignment horizontal="center" vertical="center" wrapText="1"/>
    </xf>
    <xf numFmtId="9" fontId="16" fillId="3" borderId="4" xfId="49" applyNumberFormat="1" applyFont="1" applyFill="1" applyBorder="1" applyAlignment="1">
      <alignment horizontal="center" vertical="center" wrapText="1"/>
    </xf>
    <xf numFmtId="9" fontId="16" fillId="3" borderId="21" xfId="49" applyNumberFormat="1" applyFont="1" applyFill="1" applyBorder="1" applyAlignment="1">
      <alignment horizontal="center" vertical="center" wrapText="1"/>
    </xf>
    <xf numFmtId="176" fontId="16" fillId="3" borderId="6" xfId="49" applyNumberFormat="1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left" vertical="center" wrapText="1"/>
    </xf>
    <xf numFmtId="0" fontId="18" fillId="0" borderId="8" xfId="0" applyFont="1" applyFill="1" applyBorder="1" applyAlignment="1">
      <alignment horizontal="center" vertical="center" wrapText="1"/>
    </xf>
    <xf numFmtId="0" fontId="18" fillId="0" borderId="8" xfId="0" applyFont="1" applyFill="1" applyBorder="1" applyAlignment="1">
      <alignment horizontal="left" vertical="center"/>
    </xf>
    <xf numFmtId="0" fontId="18" fillId="0" borderId="8" xfId="0" applyFont="1" applyFill="1" applyBorder="1" applyAlignment="1">
      <alignment horizontal="center" vertical="center"/>
    </xf>
    <xf numFmtId="0" fontId="11" fillId="3" borderId="22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3" borderId="24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left"/>
    </xf>
    <xf numFmtId="0" fontId="10" fillId="0" borderId="0" xfId="0" applyFont="1" applyFill="1" applyAlignment="1">
      <alignment horizontal="center"/>
    </xf>
    <xf numFmtId="0" fontId="18" fillId="0" borderId="0" xfId="0" applyFont="1" applyFill="1" applyAlignment="1">
      <alignment horizontal="left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center" vertical="center" wrapText="1"/>
    </xf>
    <xf numFmtId="0" fontId="19" fillId="0" borderId="0" xfId="0" applyFont="1" applyFill="1" applyAlignment="1"/>
    <xf numFmtId="0" fontId="19" fillId="0" borderId="0" xfId="0" applyFont="1" applyFill="1" applyAlignment="1">
      <alignment horizontal="center"/>
    </xf>
    <xf numFmtId="0" fontId="20" fillId="0" borderId="25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17" fillId="4" borderId="26" xfId="0" applyFont="1" applyFill="1" applyBorder="1" applyAlignment="1">
      <alignment horizontal="center" vertical="center" wrapText="1"/>
    </xf>
    <xf numFmtId="0" fontId="19" fillId="0" borderId="0" xfId="0" applyFont="1" applyFill="1" applyBorder="1" applyAlignment="1"/>
    <xf numFmtId="0" fontId="18" fillId="0" borderId="26" xfId="0" applyFont="1" applyFill="1" applyBorder="1" applyAlignment="1">
      <alignment horizontal="center" vertical="center"/>
    </xf>
    <xf numFmtId="0" fontId="18" fillId="0" borderId="26" xfId="0" applyFont="1" applyFill="1" applyBorder="1" applyAlignment="1">
      <alignment horizontal="center" vertical="center" wrapText="1"/>
    </xf>
    <xf numFmtId="9" fontId="18" fillId="0" borderId="26" xfId="0" applyNumberFormat="1" applyFont="1" applyFill="1" applyBorder="1" applyAlignment="1">
      <alignment horizontal="center" vertical="center" wrapText="1"/>
    </xf>
    <xf numFmtId="9" fontId="18" fillId="0" borderId="27" xfId="0" applyNumberFormat="1" applyFont="1" applyFill="1" applyBorder="1" applyAlignment="1">
      <alignment horizontal="center" vertical="center" wrapText="1"/>
    </xf>
    <xf numFmtId="9" fontId="18" fillId="0" borderId="28" xfId="0" applyNumberFormat="1" applyFont="1" applyFill="1" applyBorder="1" applyAlignment="1">
      <alignment horizontal="center" vertical="center" wrapText="1"/>
    </xf>
    <xf numFmtId="0" fontId="8" fillId="0" borderId="29" xfId="49" applyFont="1" applyBorder="1" applyAlignment="1">
      <alignment vertical="center"/>
    </xf>
    <xf numFmtId="0" fontId="9" fillId="0" borderId="30" xfId="49" applyFont="1" applyBorder="1" applyAlignment="1">
      <alignment horizontal="left" vertical="center"/>
    </xf>
    <xf numFmtId="0" fontId="10" fillId="2" borderId="31" xfId="49" applyFont="1" applyFill="1" applyBorder="1" applyAlignment="1">
      <alignment horizontal="left" vertical="top" wrapText="1"/>
    </xf>
    <xf numFmtId="0" fontId="11" fillId="3" borderId="32" xfId="49" applyFont="1" applyFill="1" applyBorder="1" applyAlignment="1">
      <alignment horizontal="center" vertical="center" wrapText="1"/>
    </xf>
    <xf numFmtId="176" fontId="22" fillId="0" borderId="8" xfId="0" applyNumberFormat="1" applyFont="1" applyFill="1" applyBorder="1" applyAlignment="1">
      <alignment horizontal="center" vertical="center"/>
    </xf>
    <xf numFmtId="177" fontId="22" fillId="0" borderId="8" xfId="0" applyNumberFormat="1" applyFont="1" applyFill="1" applyBorder="1" applyAlignment="1">
      <alignment horizontal="center" vertical="center"/>
    </xf>
    <xf numFmtId="0" fontId="23" fillId="0" borderId="32" xfId="0" applyFont="1" applyFill="1" applyBorder="1" applyAlignment="1">
      <alignment horizontal="left" vertical="top"/>
    </xf>
    <xf numFmtId="178" fontId="24" fillId="3" borderId="7" xfId="49" applyNumberFormat="1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vertical="center" wrapText="1"/>
    </xf>
    <xf numFmtId="176" fontId="16" fillId="3" borderId="12" xfId="49" applyNumberFormat="1" applyFont="1" applyFill="1" applyBorder="1" applyAlignment="1">
      <alignment horizontal="center" vertical="center" wrapText="1"/>
    </xf>
    <xf numFmtId="0" fontId="18" fillId="0" borderId="32" xfId="0" applyFont="1" applyFill="1" applyBorder="1" applyAlignment="1">
      <alignment horizontal="left" vertical="center" wrapText="1"/>
    </xf>
    <xf numFmtId="0" fontId="18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 wrapText="1"/>
    </xf>
    <xf numFmtId="0" fontId="18" fillId="0" borderId="0" xfId="0" applyFont="1" applyFill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1276350</xdr:colOff>
      <xdr:row>7</xdr:row>
      <xdr:rowOff>0</xdr:rowOff>
    </xdr:from>
    <xdr:ext cx="85568" cy="37041"/>
    <xdr:sp>
      <xdr:nvSpPr>
        <xdr:cNvPr id="2" name="Text Box 27"/>
        <xdr:cNvSpPr txBox="1">
          <a:spLocks noChangeArrowheads="1"/>
        </xdr:cNvSpPr>
      </xdr:nvSpPr>
      <xdr:spPr>
        <a:xfrm>
          <a:off x="4429125" y="13027660"/>
          <a:ext cx="85090" cy="36830"/>
        </a:xfrm>
        <a:prstGeom prst="rect">
          <a:avLst/>
        </a:prstGeom>
        <a:noFill/>
        <a:ln w="9525" algn="ctr">
          <a:noFill/>
          <a:miter lim="800000"/>
        </a:ln>
      </xdr:spPr>
    </xdr:sp>
    <xdr:clientData/>
  </xdr:oneCellAnchor>
  <xdr:oneCellAnchor>
    <xdr:from>
      <xdr:col>2</xdr:col>
      <xdr:colOff>1276350</xdr:colOff>
      <xdr:row>11</xdr:row>
      <xdr:rowOff>0</xdr:rowOff>
    </xdr:from>
    <xdr:ext cx="85568" cy="37041"/>
    <xdr:sp>
      <xdr:nvSpPr>
        <xdr:cNvPr id="3" name="Text Box 27"/>
        <xdr:cNvSpPr txBox="1">
          <a:spLocks noChangeArrowheads="1"/>
        </xdr:cNvSpPr>
      </xdr:nvSpPr>
      <xdr:spPr>
        <a:xfrm>
          <a:off x="4429125" y="23934420"/>
          <a:ext cx="85090" cy="36830"/>
        </a:xfrm>
        <a:prstGeom prst="rect">
          <a:avLst/>
        </a:prstGeom>
        <a:noFill/>
        <a:ln w="9525" algn="ctr">
          <a:noFill/>
          <a:miter lim="800000"/>
        </a:ln>
      </xdr:spPr>
    </xdr:sp>
    <xdr:clientData/>
  </xdr:oneCellAnchor>
  <xdr:oneCellAnchor>
    <xdr:from>
      <xdr:col>2</xdr:col>
      <xdr:colOff>1276350</xdr:colOff>
      <xdr:row>9</xdr:row>
      <xdr:rowOff>0</xdr:rowOff>
    </xdr:from>
    <xdr:ext cx="84298" cy="37041"/>
    <xdr:sp>
      <xdr:nvSpPr>
        <xdr:cNvPr id="4" name="Text Box 27"/>
        <xdr:cNvSpPr txBox="1">
          <a:spLocks noChangeArrowheads="1"/>
        </xdr:cNvSpPr>
      </xdr:nvSpPr>
      <xdr:spPr>
        <a:xfrm>
          <a:off x="4429125" y="18766790"/>
          <a:ext cx="83820" cy="36830"/>
        </a:xfrm>
        <a:prstGeom prst="rect">
          <a:avLst/>
        </a:prstGeom>
        <a:noFill/>
        <a:ln w="9525" algn="ctr">
          <a:noFill/>
          <a:miter lim="800000"/>
        </a:ln>
      </xdr:spPr>
    </xdr:sp>
    <xdr:clientData/>
  </xdr:oneCellAnchor>
  <xdr:oneCellAnchor>
    <xdr:from>
      <xdr:col>2</xdr:col>
      <xdr:colOff>1276350</xdr:colOff>
      <xdr:row>22</xdr:row>
      <xdr:rowOff>0</xdr:rowOff>
    </xdr:from>
    <xdr:ext cx="85568" cy="37041"/>
    <xdr:sp>
      <xdr:nvSpPr>
        <xdr:cNvPr id="5" name="Text Box 27"/>
        <xdr:cNvSpPr txBox="1">
          <a:spLocks noChangeArrowheads="1"/>
        </xdr:cNvSpPr>
      </xdr:nvSpPr>
      <xdr:spPr>
        <a:xfrm>
          <a:off x="4429125" y="29356050"/>
          <a:ext cx="85090" cy="36830"/>
        </a:xfrm>
        <a:prstGeom prst="rect">
          <a:avLst/>
        </a:prstGeom>
        <a:noFill/>
        <a:ln w="9525" algn="ctr">
          <a:noFill/>
          <a:miter lim="800000"/>
        </a:ln>
      </xdr:spPr>
    </xdr:sp>
    <xdr:clientData/>
  </xdr:oneCellAnchor>
  <xdr:oneCellAnchor>
    <xdr:from>
      <xdr:col>0</xdr:col>
      <xdr:colOff>1276350</xdr:colOff>
      <xdr:row>22</xdr:row>
      <xdr:rowOff>0</xdr:rowOff>
    </xdr:from>
    <xdr:ext cx="87927" cy="37041"/>
    <xdr:sp>
      <xdr:nvSpPr>
        <xdr:cNvPr id="6" name="Text Box 27"/>
        <xdr:cNvSpPr txBox="1">
          <a:spLocks noChangeArrowheads="1"/>
        </xdr:cNvSpPr>
      </xdr:nvSpPr>
      <xdr:spPr>
        <a:xfrm>
          <a:off x="1276350" y="29356050"/>
          <a:ext cx="87630" cy="36830"/>
        </a:xfrm>
        <a:prstGeom prst="rect">
          <a:avLst/>
        </a:prstGeom>
        <a:noFill/>
        <a:ln w="9525" algn="ctr">
          <a:noFill/>
          <a:miter lim="800000"/>
        </a:ln>
      </xdr:spPr>
    </xdr:sp>
    <xdr:clientData/>
  </xdr:oneCellAnchor>
  <xdr:oneCellAnchor>
    <xdr:from>
      <xdr:col>2</xdr:col>
      <xdr:colOff>1276350</xdr:colOff>
      <xdr:row>7</xdr:row>
      <xdr:rowOff>0</xdr:rowOff>
    </xdr:from>
    <xdr:ext cx="85568" cy="37041"/>
    <xdr:sp>
      <xdr:nvSpPr>
        <xdr:cNvPr id="7" name="Text Box 27"/>
        <xdr:cNvSpPr txBox="1">
          <a:spLocks noChangeArrowheads="1"/>
        </xdr:cNvSpPr>
      </xdr:nvSpPr>
      <xdr:spPr>
        <a:xfrm>
          <a:off x="4429125" y="13027660"/>
          <a:ext cx="85090" cy="36830"/>
        </a:xfrm>
        <a:prstGeom prst="rect">
          <a:avLst/>
        </a:prstGeom>
        <a:noFill/>
        <a:ln w="9525" algn="ctr">
          <a:noFill/>
          <a:miter lim="800000"/>
        </a:ln>
      </xdr:spPr>
    </xdr:sp>
    <xdr:clientData/>
  </xdr:oneCellAnchor>
  <xdr:oneCellAnchor>
    <xdr:from>
      <xdr:col>2</xdr:col>
      <xdr:colOff>1276350</xdr:colOff>
      <xdr:row>11</xdr:row>
      <xdr:rowOff>0</xdr:rowOff>
    </xdr:from>
    <xdr:ext cx="85568" cy="37041"/>
    <xdr:sp>
      <xdr:nvSpPr>
        <xdr:cNvPr id="8" name="Text Box 27"/>
        <xdr:cNvSpPr txBox="1">
          <a:spLocks noChangeArrowheads="1"/>
        </xdr:cNvSpPr>
      </xdr:nvSpPr>
      <xdr:spPr>
        <a:xfrm>
          <a:off x="4429125" y="23934420"/>
          <a:ext cx="85090" cy="36830"/>
        </a:xfrm>
        <a:prstGeom prst="rect">
          <a:avLst/>
        </a:prstGeom>
        <a:noFill/>
        <a:ln w="9525" algn="ctr">
          <a:noFill/>
          <a:miter lim="800000"/>
        </a:ln>
      </xdr:spPr>
    </xdr:sp>
    <xdr:clientData/>
  </xdr:oneCellAnchor>
  <xdr:oneCellAnchor>
    <xdr:from>
      <xdr:col>2</xdr:col>
      <xdr:colOff>1276350</xdr:colOff>
      <xdr:row>9</xdr:row>
      <xdr:rowOff>0</xdr:rowOff>
    </xdr:from>
    <xdr:ext cx="84298" cy="37041"/>
    <xdr:sp>
      <xdr:nvSpPr>
        <xdr:cNvPr id="9" name="Text Box 27"/>
        <xdr:cNvSpPr txBox="1">
          <a:spLocks noChangeArrowheads="1"/>
        </xdr:cNvSpPr>
      </xdr:nvSpPr>
      <xdr:spPr>
        <a:xfrm>
          <a:off x="4429125" y="18766790"/>
          <a:ext cx="83820" cy="36830"/>
        </a:xfrm>
        <a:prstGeom prst="rect">
          <a:avLst/>
        </a:prstGeom>
        <a:noFill/>
        <a:ln w="9525" algn="ctr">
          <a:noFill/>
          <a:miter lim="800000"/>
        </a:ln>
      </xdr:spPr>
    </xdr:sp>
    <xdr:clientData/>
  </xdr:oneCellAnchor>
  <xdr:oneCellAnchor>
    <xdr:from>
      <xdr:col>2</xdr:col>
      <xdr:colOff>1276350</xdr:colOff>
      <xdr:row>22</xdr:row>
      <xdr:rowOff>0</xdr:rowOff>
    </xdr:from>
    <xdr:ext cx="85568" cy="37041"/>
    <xdr:sp>
      <xdr:nvSpPr>
        <xdr:cNvPr id="10" name="Text Box 27"/>
        <xdr:cNvSpPr txBox="1">
          <a:spLocks noChangeArrowheads="1"/>
        </xdr:cNvSpPr>
      </xdr:nvSpPr>
      <xdr:spPr>
        <a:xfrm>
          <a:off x="4429125" y="29356050"/>
          <a:ext cx="85090" cy="36830"/>
        </a:xfrm>
        <a:prstGeom prst="rect">
          <a:avLst/>
        </a:prstGeom>
        <a:noFill/>
        <a:ln w="9525" algn="ctr">
          <a:noFill/>
          <a:miter lim="800000"/>
        </a:ln>
      </xdr:spPr>
    </xdr:sp>
    <xdr:clientData/>
  </xdr:oneCellAnchor>
  <xdr:oneCellAnchor>
    <xdr:from>
      <xdr:col>0</xdr:col>
      <xdr:colOff>1276350</xdr:colOff>
      <xdr:row>22</xdr:row>
      <xdr:rowOff>0</xdr:rowOff>
    </xdr:from>
    <xdr:ext cx="87927" cy="37041"/>
    <xdr:sp>
      <xdr:nvSpPr>
        <xdr:cNvPr id="11" name="Text Box 27"/>
        <xdr:cNvSpPr txBox="1">
          <a:spLocks noChangeArrowheads="1"/>
        </xdr:cNvSpPr>
      </xdr:nvSpPr>
      <xdr:spPr>
        <a:xfrm>
          <a:off x="1276350" y="29356050"/>
          <a:ext cx="87630" cy="36830"/>
        </a:xfrm>
        <a:prstGeom prst="rect">
          <a:avLst/>
        </a:prstGeom>
        <a:noFill/>
        <a:ln w="9525" algn="ctr">
          <a:noFill/>
          <a:miter lim="800000"/>
        </a:ln>
      </xdr:spPr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zoomScale="59" zoomScaleNormal="59" topLeftCell="A2" workbookViewId="0">
      <selection activeCell="F5" sqref="F5"/>
    </sheetView>
  </sheetViews>
  <sheetFormatPr defaultColWidth="10.625" defaultRowHeight="17.25"/>
  <cols>
    <col min="1" max="1" width="26" style="9" customWidth="1"/>
    <col min="2" max="2" width="15.375" style="9" customWidth="1"/>
    <col min="3" max="3" width="37" style="10" customWidth="1"/>
    <col min="4" max="4" width="17.375" style="10" customWidth="1"/>
    <col min="5" max="5" width="108.625" style="10" customWidth="1"/>
    <col min="6" max="6" width="45.625" style="10" customWidth="1"/>
    <col min="7" max="7" width="65.875" style="9" customWidth="1"/>
    <col min="8" max="8" width="38.1333333333333" style="9" customWidth="1"/>
    <col min="9" max="10" width="18.875" style="9" customWidth="1"/>
    <col min="11" max="11" width="49" style="11" customWidth="1"/>
    <col min="12" max="16384" width="10.625" style="9"/>
  </cols>
  <sheetData>
    <row r="1" ht="69.6" customHeight="1" spans="1:11">
      <c r="A1" s="12" t="s">
        <v>0</v>
      </c>
      <c r="B1" s="13"/>
      <c r="C1" s="14"/>
      <c r="D1" s="14"/>
      <c r="E1" s="15"/>
      <c r="F1" s="15"/>
      <c r="G1" s="15"/>
      <c r="H1" s="15"/>
      <c r="I1" s="15"/>
      <c r="J1" s="15"/>
      <c r="K1" s="80"/>
    </row>
    <row r="2" s="1" customFormat="1" ht="32.1" customHeight="1" spans="1:11">
      <c r="A2" s="16" t="s">
        <v>1</v>
      </c>
      <c r="B2" s="17"/>
      <c r="C2" s="18"/>
      <c r="D2" s="18"/>
      <c r="E2" s="17"/>
      <c r="F2" s="18"/>
      <c r="G2" s="17"/>
      <c r="H2" s="17"/>
      <c r="I2" s="17"/>
      <c r="J2" s="17"/>
      <c r="K2" s="81"/>
    </row>
    <row r="3" s="1" customFormat="1" ht="135.95" customHeight="1" spans="1:11">
      <c r="A3" s="19" t="s">
        <v>2</v>
      </c>
      <c r="B3" s="20"/>
      <c r="C3" s="21"/>
      <c r="D3" s="21"/>
      <c r="E3" s="20"/>
      <c r="F3" s="20"/>
      <c r="G3" s="20"/>
      <c r="H3" s="20"/>
      <c r="I3" s="20"/>
      <c r="J3" s="20"/>
      <c r="K3" s="82"/>
    </row>
    <row r="4" s="2" customFormat="1" ht="60" customHeight="1" spans="1:11">
      <c r="A4" s="22" t="s">
        <v>3</v>
      </c>
      <c r="B4" s="23" t="s">
        <v>4</v>
      </c>
      <c r="C4" s="23" t="s">
        <v>5</v>
      </c>
      <c r="D4" s="23" t="s">
        <v>4</v>
      </c>
      <c r="E4" s="23" t="s">
        <v>6</v>
      </c>
      <c r="F4" s="23" t="s">
        <v>7</v>
      </c>
      <c r="G4" s="23" t="s">
        <v>8</v>
      </c>
      <c r="H4" s="24" t="s">
        <v>9</v>
      </c>
      <c r="I4" s="24" t="s">
        <v>10</v>
      </c>
      <c r="J4" s="24" t="s">
        <v>11</v>
      </c>
      <c r="K4" s="83" t="s">
        <v>12</v>
      </c>
    </row>
    <row r="5" s="1" customFormat="1" ht="383.1" customHeight="1" spans="1:11">
      <c r="A5" s="25" t="s">
        <v>13</v>
      </c>
      <c r="B5" s="26">
        <v>0.7</v>
      </c>
      <c r="C5" s="27" t="s">
        <v>14</v>
      </c>
      <c r="D5" s="28">
        <v>0.4</v>
      </c>
      <c r="E5" s="29" t="s">
        <v>15</v>
      </c>
      <c r="F5" s="30"/>
      <c r="G5" s="30"/>
      <c r="H5" s="31"/>
      <c r="I5" s="84"/>
      <c r="J5" s="85">
        <f>I5*0.4</f>
        <v>0</v>
      </c>
      <c r="K5" s="86"/>
    </row>
    <row r="6" s="1" customFormat="1" ht="192.95" customHeight="1" spans="1:11">
      <c r="A6" s="25"/>
      <c r="B6" s="26"/>
      <c r="C6" s="27" t="s">
        <v>16</v>
      </c>
      <c r="D6" s="28">
        <v>0.2</v>
      </c>
      <c r="E6" s="29" t="s">
        <v>17</v>
      </c>
      <c r="F6" s="32"/>
      <c r="G6" s="33"/>
      <c r="H6" s="31"/>
      <c r="I6" s="84"/>
      <c r="J6" s="85">
        <f>I6*0.2</f>
        <v>0</v>
      </c>
      <c r="K6" s="86"/>
    </row>
    <row r="7" s="1" customFormat="1" ht="152.1" customHeight="1" spans="1:11">
      <c r="A7" s="25"/>
      <c r="B7" s="26"/>
      <c r="C7" s="2" t="s">
        <v>18</v>
      </c>
      <c r="D7" s="28">
        <v>0.1</v>
      </c>
      <c r="E7" s="29" t="s">
        <v>19</v>
      </c>
      <c r="F7" s="32"/>
      <c r="G7" s="32"/>
      <c r="H7" s="31"/>
      <c r="I7" s="84"/>
      <c r="J7" s="85">
        <f t="shared" ref="J7:J9" si="0">I7*0.1</f>
        <v>0</v>
      </c>
      <c r="K7" s="86"/>
    </row>
    <row r="8" s="3" customFormat="1" ht="210.95" customHeight="1" spans="1:11">
      <c r="A8" s="25" t="s">
        <v>20</v>
      </c>
      <c r="B8" s="34">
        <v>0.2</v>
      </c>
      <c r="C8" s="35" t="s">
        <v>21</v>
      </c>
      <c r="D8" s="28">
        <v>0.1</v>
      </c>
      <c r="E8" s="29" t="s">
        <v>22</v>
      </c>
      <c r="F8" s="36"/>
      <c r="G8" s="37"/>
      <c r="H8" s="31"/>
      <c r="I8" s="84"/>
      <c r="J8" s="85">
        <f t="shared" si="0"/>
        <v>0</v>
      </c>
      <c r="K8" s="86"/>
    </row>
    <row r="9" s="3" customFormat="1" ht="240.95" customHeight="1" spans="1:11">
      <c r="A9" s="38"/>
      <c r="B9" s="39"/>
      <c r="C9" s="40" t="s">
        <v>23</v>
      </c>
      <c r="D9" s="41">
        <v>0.1</v>
      </c>
      <c r="E9" s="29" t="s">
        <v>24</v>
      </c>
      <c r="F9" s="36"/>
      <c r="G9" s="37"/>
      <c r="H9" s="31"/>
      <c r="I9" s="84"/>
      <c r="J9" s="85">
        <f t="shared" si="0"/>
        <v>0</v>
      </c>
      <c r="K9" s="86"/>
    </row>
    <row r="10" s="1" customFormat="1" ht="222.95" customHeight="1" spans="1:11">
      <c r="A10" s="25" t="s">
        <v>25</v>
      </c>
      <c r="B10" s="34">
        <v>0.1</v>
      </c>
      <c r="C10" s="35" t="s">
        <v>26</v>
      </c>
      <c r="D10" s="28">
        <v>0.05</v>
      </c>
      <c r="E10" s="29" t="s">
        <v>27</v>
      </c>
      <c r="F10" s="36"/>
      <c r="G10" s="42"/>
      <c r="H10" s="31"/>
      <c r="I10" s="84"/>
      <c r="J10" s="85">
        <f>I10*0.05</f>
        <v>0</v>
      </c>
      <c r="K10" s="86"/>
    </row>
    <row r="11" s="1" customFormat="1" ht="183.95" customHeight="1" spans="1:11">
      <c r="A11" s="38"/>
      <c r="B11" s="39"/>
      <c r="C11" s="35" t="s">
        <v>28</v>
      </c>
      <c r="D11" s="28">
        <v>0.05</v>
      </c>
      <c r="E11" s="43" t="s">
        <v>29</v>
      </c>
      <c r="F11" s="36"/>
      <c r="G11" s="42"/>
      <c r="H11" s="31"/>
      <c r="I11" s="84"/>
      <c r="J11" s="85">
        <f>I11*0.05</f>
        <v>0</v>
      </c>
      <c r="K11" s="86"/>
    </row>
    <row r="12" s="4" customFormat="1" ht="35.1" customHeight="1" spans="1:11">
      <c r="A12" s="44" t="s">
        <v>30</v>
      </c>
      <c r="B12" s="45">
        <f>SUM(B5:B11)</f>
        <v>1</v>
      </c>
      <c r="C12" s="46"/>
      <c r="D12" s="46"/>
      <c r="E12" s="46"/>
      <c r="F12" s="47"/>
      <c r="G12" s="48" t="s">
        <v>31</v>
      </c>
      <c r="H12" s="49">
        <f t="shared" ref="H12:J12" si="1">SUM(H5:H11)</f>
        <v>0</v>
      </c>
      <c r="I12" s="49">
        <f t="shared" si="1"/>
        <v>0</v>
      </c>
      <c r="J12" s="87">
        <f t="shared" si="1"/>
        <v>0</v>
      </c>
      <c r="K12" s="88"/>
    </row>
    <row r="13" s="4" customFormat="1" ht="33.95" customHeight="1" spans="1:11">
      <c r="A13" s="50"/>
      <c r="B13" s="51"/>
      <c r="C13" s="52"/>
      <c r="D13" s="52"/>
      <c r="E13" s="52"/>
      <c r="F13" s="53"/>
      <c r="G13" s="48" t="s">
        <v>32</v>
      </c>
      <c r="H13" s="54">
        <f>J12</f>
        <v>0</v>
      </c>
      <c r="I13" s="54"/>
      <c r="J13" s="89"/>
      <c r="K13" s="88" t="s">
        <v>33</v>
      </c>
    </row>
    <row r="14" s="5" customFormat="1" ht="98.45" customHeight="1" spans="1:11">
      <c r="A14" s="55" t="s">
        <v>34</v>
      </c>
      <c r="B14" s="56" t="s">
        <v>35</v>
      </c>
      <c r="C14" s="57"/>
      <c r="D14" s="57"/>
      <c r="E14" s="56"/>
      <c r="F14" s="56"/>
      <c r="G14" s="56"/>
      <c r="H14" s="56"/>
      <c r="I14" s="56"/>
      <c r="J14" s="56"/>
      <c r="K14" s="90"/>
    </row>
    <row r="15" s="6" customFormat="1" ht="48" customHeight="1" spans="1:11">
      <c r="A15" s="55"/>
      <c r="B15" s="58" t="s">
        <v>36</v>
      </c>
      <c r="C15" s="59"/>
      <c r="D15" s="59"/>
      <c r="E15" s="58"/>
      <c r="F15" s="58"/>
      <c r="G15" s="58"/>
      <c r="H15" s="58"/>
      <c r="I15" s="58"/>
      <c r="J15" s="58"/>
      <c r="K15" s="91"/>
    </row>
    <row r="16" s="6" customFormat="1" ht="54" customHeight="1" spans="1:11">
      <c r="A16" s="55"/>
      <c r="B16" s="58" t="s">
        <v>37</v>
      </c>
      <c r="C16" s="59"/>
      <c r="D16" s="59"/>
      <c r="E16" s="58"/>
      <c r="F16" s="58"/>
      <c r="G16" s="58"/>
      <c r="H16" s="58"/>
      <c r="I16" s="58"/>
      <c r="J16" s="58"/>
      <c r="K16" s="91"/>
    </row>
    <row r="17" s="2" customFormat="1" ht="48.2" customHeight="1" spans="1:11">
      <c r="A17" s="60" t="s">
        <v>38</v>
      </c>
      <c r="B17" s="61"/>
      <c r="C17" s="62"/>
      <c r="D17" s="62"/>
      <c r="E17" s="62"/>
      <c r="F17" s="62"/>
      <c r="G17" s="62"/>
      <c r="H17" s="62"/>
      <c r="I17" s="62"/>
      <c r="J17" s="92"/>
      <c r="K17" s="93"/>
    </row>
    <row r="18" s="7" customFormat="1" ht="24.6" customHeight="1" spans="1:11">
      <c r="A18" s="63" t="s">
        <v>39</v>
      </c>
      <c r="B18" s="63"/>
      <c r="C18" s="64"/>
      <c r="D18" s="64"/>
      <c r="E18" s="63"/>
      <c r="F18" s="63"/>
      <c r="G18" s="63"/>
      <c r="H18" s="63"/>
      <c r="I18" s="63"/>
      <c r="J18" s="63"/>
      <c r="K18" s="63"/>
    </row>
    <row r="19" s="7" customFormat="1" ht="24.6" customHeight="1" spans="1:11">
      <c r="A19" s="65" t="s">
        <v>40</v>
      </c>
      <c r="B19" s="63"/>
      <c r="C19" s="64"/>
      <c r="D19" s="64"/>
      <c r="E19" s="63"/>
      <c r="F19" s="63"/>
      <c r="G19" s="63"/>
      <c r="H19" s="63"/>
      <c r="I19" s="63"/>
      <c r="J19" s="63"/>
      <c r="K19" s="63"/>
    </row>
    <row r="20" s="7" customFormat="1" ht="20.25" customHeight="1" spans="1:11">
      <c r="A20" s="66" t="s">
        <v>41</v>
      </c>
      <c r="B20" s="66"/>
      <c r="C20" s="67"/>
      <c r="D20" s="67"/>
      <c r="E20" s="66"/>
      <c r="F20" s="66"/>
      <c r="G20" s="66"/>
      <c r="H20" s="66"/>
      <c r="I20" s="66"/>
      <c r="J20" s="66"/>
      <c r="K20" s="66"/>
    </row>
    <row r="21" s="7" customFormat="1" ht="22.5" customHeight="1" spans="1:11">
      <c r="A21" s="66" t="s">
        <v>42</v>
      </c>
      <c r="B21" s="66"/>
      <c r="C21" s="67"/>
      <c r="D21" s="67"/>
      <c r="E21" s="66"/>
      <c r="F21" s="66"/>
      <c r="G21" s="66"/>
      <c r="H21" s="66"/>
      <c r="I21" s="66"/>
      <c r="J21" s="66"/>
      <c r="K21" s="66"/>
    </row>
    <row r="22" spans="1:10">
      <c r="A22" s="68"/>
      <c r="B22" s="68"/>
      <c r="C22" s="69"/>
      <c r="D22" s="69"/>
      <c r="E22" s="69"/>
      <c r="F22" s="69"/>
      <c r="G22" s="68"/>
      <c r="H22" s="68"/>
      <c r="I22" s="68"/>
      <c r="J22" s="68"/>
    </row>
    <row r="23" s="8" customFormat="1" ht="25.35" customHeight="1" spans="1:11">
      <c r="A23" s="70" t="s">
        <v>43</v>
      </c>
      <c r="B23" s="70"/>
      <c r="C23" s="70"/>
      <c r="D23" s="70"/>
      <c r="E23" s="70"/>
      <c r="F23" s="70"/>
      <c r="G23" s="71"/>
      <c r="H23" s="72"/>
      <c r="I23" s="94"/>
      <c r="J23" s="94"/>
      <c r="K23" s="94"/>
    </row>
    <row r="24" ht="22.5" spans="1:10">
      <c r="A24" s="73" t="s">
        <v>44</v>
      </c>
      <c r="B24" s="73" t="s">
        <v>45</v>
      </c>
      <c r="C24" s="73" t="s">
        <v>46</v>
      </c>
      <c r="D24" s="73" t="s">
        <v>47</v>
      </c>
      <c r="E24" s="73" t="s">
        <v>48</v>
      </c>
      <c r="F24" s="73" t="s">
        <v>49</v>
      </c>
      <c r="G24" s="74"/>
      <c r="H24" s="68"/>
      <c r="I24" s="68"/>
      <c r="J24" s="68"/>
    </row>
    <row r="25" ht="22.5" spans="1:10">
      <c r="A25" s="75" t="s">
        <v>50</v>
      </c>
      <c r="B25" s="76" t="s">
        <v>51</v>
      </c>
      <c r="C25" s="77" t="s">
        <v>52</v>
      </c>
      <c r="D25" s="76" t="s">
        <v>53</v>
      </c>
      <c r="E25" s="76" t="s">
        <v>54</v>
      </c>
      <c r="F25" s="77">
        <v>0.1</v>
      </c>
      <c r="G25" s="68"/>
      <c r="H25" s="68"/>
      <c r="I25" s="68"/>
      <c r="J25" s="68"/>
    </row>
    <row r="26" ht="22.5" spans="1:10">
      <c r="A26" s="75" t="s">
        <v>55</v>
      </c>
      <c r="B26" s="76" t="s">
        <v>56</v>
      </c>
      <c r="C26" s="77" t="s">
        <v>57</v>
      </c>
      <c r="D26" s="76" t="s">
        <v>58</v>
      </c>
      <c r="E26" s="76" t="s">
        <v>59</v>
      </c>
      <c r="F26" s="77">
        <v>0.07</v>
      </c>
      <c r="G26" s="68"/>
      <c r="H26" s="68"/>
      <c r="I26" s="68"/>
      <c r="J26" s="68"/>
    </row>
    <row r="27" ht="22.5" spans="1:10">
      <c r="A27" s="75" t="s">
        <v>60</v>
      </c>
      <c r="B27" s="76" t="s">
        <v>61</v>
      </c>
      <c r="C27" s="77" t="s">
        <v>62</v>
      </c>
      <c r="D27" s="76" t="s">
        <v>63</v>
      </c>
      <c r="E27" s="76" t="s">
        <v>64</v>
      </c>
      <c r="F27" s="77">
        <v>0.05</v>
      </c>
      <c r="G27" s="68"/>
      <c r="H27" s="68"/>
      <c r="I27" s="68"/>
      <c r="J27" s="68"/>
    </row>
    <row r="28" ht="22.5" spans="1:10">
      <c r="A28" s="75" t="s">
        <v>65</v>
      </c>
      <c r="B28" s="76" t="s">
        <v>66</v>
      </c>
      <c r="C28" s="78" t="s">
        <v>67</v>
      </c>
      <c r="D28" s="76" t="s">
        <v>68</v>
      </c>
      <c r="E28" s="76" t="s">
        <v>69</v>
      </c>
      <c r="F28" s="77">
        <v>0</v>
      </c>
      <c r="G28" s="68"/>
      <c r="H28" s="68"/>
      <c r="I28" s="68"/>
      <c r="J28" s="68"/>
    </row>
    <row r="29" ht="22.5" spans="1:10">
      <c r="A29" s="75" t="s">
        <v>70</v>
      </c>
      <c r="B29" s="76" t="s">
        <v>71</v>
      </c>
      <c r="C29" s="79"/>
      <c r="D29" s="76" t="s">
        <v>72</v>
      </c>
      <c r="E29" s="76" t="s">
        <v>73</v>
      </c>
      <c r="F29" s="77">
        <v>-0.05</v>
      </c>
      <c r="G29" s="68"/>
      <c r="H29" s="68"/>
      <c r="I29" s="68"/>
      <c r="J29" s="68"/>
    </row>
  </sheetData>
  <protectedRanges>
    <protectedRange sqref="K5:K11" name="区域2"/>
    <protectedRange sqref="I5:I11" name="区域1"/>
    <protectedRange sqref="K5:K11" name="区域2_1"/>
    <protectedRange sqref="A3" name="区域3"/>
    <protectedRange sqref="A2" name="区域3_1_2"/>
    <protectedRange sqref="A2" name="区域3_1_1_1"/>
    <protectedRange sqref="H5:H11" name="区域1_1_1"/>
  </protectedRanges>
  <mergeCells count="23">
    <mergeCell ref="A1:K1"/>
    <mergeCell ref="A2:K2"/>
    <mergeCell ref="A3:K3"/>
    <mergeCell ref="H13:J13"/>
    <mergeCell ref="B14:K14"/>
    <mergeCell ref="B15:K15"/>
    <mergeCell ref="B16:K16"/>
    <mergeCell ref="A17:K17"/>
    <mergeCell ref="A18:K18"/>
    <mergeCell ref="A19:K19"/>
    <mergeCell ref="A20:K20"/>
    <mergeCell ref="A21:K21"/>
    <mergeCell ref="A23:G23"/>
    <mergeCell ref="A5:A7"/>
    <mergeCell ref="A8:A9"/>
    <mergeCell ref="A10:A11"/>
    <mergeCell ref="A12:A13"/>
    <mergeCell ref="A14:A16"/>
    <mergeCell ref="B5:B7"/>
    <mergeCell ref="B8:B9"/>
    <mergeCell ref="B10:B11"/>
    <mergeCell ref="C28:C29"/>
    <mergeCell ref="B12:F13"/>
  </mergeCells>
  <dataValidations count="1">
    <dataValidation allowBlank="1" showInputMessage="1" showErrorMessage="1" promptTitle="Tips:" prompt="如评分为0或5，请填写评分备注，说明评分事由" sqref="K4"/>
  </dataValidations>
  <pageMargins left="0.75" right="0.75" top="1" bottom="1" header="0.5" footer="0.5"/>
  <pageSetup paperSize="9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区域2" rangeCreator="" othersAccessPermission="edit"/>
    <arrUserId title="区域1" rangeCreator="" othersAccessPermission="edit"/>
    <arrUserId title="区域2_1" rangeCreator="" othersAccessPermission="edit"/>
    <arrUserId title="区域3" rangeCreator="" othersAccessPermission="edit"/>
    <arrUserId title="区域3_1_2" rangeCreator="" othersAccessPermission="edit"/>
    <arrUserId title="区域3_1_1_1" rangeCreator="" othersAccessPermission="edit"/>
    <arrUserId title="区域1_1_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2025-Q2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zhaojiahui</dc:creator>
  <cp:lastModifiedBy>逆风翻盘, 向阳而生</cp:lastModifiedBy>
  <dcterms:created xsi:type="dcterms:W3CDTF">2024-04-17T02:41:00Z</dcterms:created>
  <dcterms:modified xsi:type="dcterms:W3CDTF">2025-07-10T02:13:20Z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1B5CB15BBD174FBD8227CB5FD37483DF_13</vt:lpwstr>
  </property>
  <property fmtid="{D5CDD505-2E9C-101B-9397-08002B2CF9AE}" pid="3" name="KSOProductBuildVer">
    <vt:lpwstr>2052-12.1.0.21915</vt:lpwstr>
  </property>
</Properties>
</file>